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structions" sheetId="1" state="visible" r:id="rId3"/>
    <sheet name="2. Risk Assessment Checklist" sheetId="2" state="visible" r:id="rId4"/>
    <sheet name="3. Scoring Dashboard" sheetId="3" state="visible" r:id="rId5"/>
    <sheet name="4. Risk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<sst xmlns="http://schemas.openxmlformats.org/spreadsheetml/2006/main" count="318" uniqueCount="237">
  <si>
    <t xml:space="preserve">AI RISK ASSESSMENT FRAMEWORK</t>
  </si>
  <si>
    <t xml:space="preserve">Inspired by NIST AI RMF | ISO/IEC 42001 | Enterprise GRC Best Practices</t>
  </si>
  <si>
    <t xml:space="preserve">ABOUT THIS TOOLKIT</t>
  </si>
  <si>
    <t xml:space="preserve">This toolkit provides a structured, repeatable methodology for assessing AI system risk across six critical domains.</t>
  </si>
  <si>
    <t xml:space="preserve">It is aligned with the NIST AI Risk Management Framework (AI RMF 1.0) and ISO/IEC 42001 AI Management Systems standard.</t>
  </si>
  <si>
    <t xml:space="preserve">Intended for: GRC professionals, AI governance leads, security teams, compliance officers, and portfolio demonstration.</t>
  </si>
  <si>
    <t xml:space="preserve">HOW TO USE THIS WORKBOOK</t>
  </si>
  <si>
    <t xml:space="preserve">Step</t>
  </si>
  <si>
    <t xml:space="preserve">Action</t>
  </si>
  <si>
    <t xml:space="preserve">Details</t>
  </si>
  <si>
    <t xml:space="preserve">Step 1</t>
  </si>
  <si>
    <t xml:space="preserve">Open Sheet 2 – Risk Assessment Checklist</t>
  </si>
  <si>
    <t xml:space="preserve">Answer each question for your target AI system. Score 1–5 per question.</t>
  </si>
  <si>
    <t xml:space="preserve">Step 2</t>
  </si>
  <si>
    <t xml:space="preserve">Review Scoring Logic</t>
  </si>
  <si>
    <t xml:space="preserve">Each domain has a weight. Weighted scores roll up automatically.</t>
  </si>
  <si>
    <t xml:space="preserve">Step 3</t>
  </si>
  <si>
    <t xml:space="preserve">View Sheet 3 – Scoring Dashboard</t>
  </si>
  <si>
    <t xml:space="preserve">Dashboard auto-calculates domain scores, overall risk rating, and heat map.</t>
  </si>
  <si>
    <t xml:space="preserve">Step 4</t>
  </si>
  <si>
    <t xml:space="preserve">Review Sheet 4 – Risk Summary</t>
  </si>
  <si>
    <t xml:space="preserve">Review top risks, recommendations, and final assessment output.</t>
  </si>
  <si>
    <t xml:space="preserve">SCORING SCALE REFERENCE</t>
  </si>
  <si>
    <t xml:space="preserve">Score</t>
  </si>
  <si>
    <t xml:space="preserve">Meaning</t>
  </si>
  <si>
    <t xml:space="preserve">Control Maturity</t>
  </si>
  <si>
    <t xml:space="preserve">1 – Very Low</t>
  </si>
  <si>
    <t xml:space="preserve">Risk is negligible or fully mitigated</t>
  </si>
  <si>
    <t xml:space="preserve">Strong, documented, tested controls in place</t>
  </si>
  <si>
    <t xml:space="preserve">2 – Low</t>
  </si>
  <si>
    <t xml:space="preserve">Risk is minor with adequate controls</t>
  </si>
  <si>
    <t xml:space="preserve">Controls exist and are mostly effective</t>
  </si>
  <si>
    <t xml:space="preserve">3 – Moderate</t>
  </si>
  <si>
    <t xml:space="preserve">Risk is present with partial controls</t>
  </si>
  <si>
    <t xml:space="preserve">Controls exist but gaps remain</t>
  </si>
  <si>
    <t xml:space="preserve">4 – High</t>
  </si>
  <si>
    <t xml:space="preserve">Significant risk with weak/missing controls</t>
  </si>
  <si>
    <t xml:space="preserve">Controls are minimal or ad hoc</t>
  </si>
  <si>
    <t xml:space="preserve">5 – Critical</t>
  </si>
  <si>
    <t xml:space="preserve">Severe risk with no meaningful controls</t>
  </si>
  <si>
    <t xml:space="preserve">No controls or controls are ineffective</t>
  </si>
  <si>
    <t xml:space="preserve">DOMAIN WEIGHTS &amp; RISK THRESHOLDS</t>
  </si>
  <si>
    <t xml:space="preserve">Domain</t>
  </si>
  <si>
    <t xml:space="preserve">Weight</t>
  </si>
  <si>
    <t xml:space="preserve">Rationale</t>
  </si>
  <si>
    <t xml:space="preserve">Security Risks</t>
  </si>
  <si>
    <t xml:space="preserve">25%</t>
  </si>
  <si>
    <t xml:space="preserve">Highest impact — adversarial attacks, data leakage, prompt injection</t>
  </si>
  <si>
    <t xml:space="preserve">Data Privacy &amp; Protection</t>
  </si>
  <si>
    <t xml:space="preserve">20%</t>
  </si>
  <si>
    <t xml:space="preserve">Regulatory exposure (GDPR, CCPA) and reputational damage</t>
  </si>
  <si>
    <t xml:space="preserve">Bias &amp; Fairness</t>
  </si>
  <si>
    <t xml:space="preserve">15%</t>
  </si>
  <si>
    <t xml:space="preserve">Legal liability and ethical accountability</t>
  </si>
  <si>
    <t xml:space="preserve">Compliance &amp; Legal Risk</t>
  </si>
  <si>
    <t xml:space="preserve">Regulatory penalties and audit findings</t>
  </si>
  <si>
    <t xml:space="preserve">Accountability &amp; Governance</t>
  </si>
  <si>
    <t xml:space="preserve">Oversight gaps multiply all other risks</t>
  </si>
  <si>
    <t xml:space="preserve">Model Transparency &amp; Explainability</t>
  </si>
  <si>
    <t xml:space="preserve">10%</t>
  </si>
  <si>
    <t xml:space="preserve">Operational risk; lower direct impact but enables oversight</t>
  </si>
  <si>
    <t xml:space="preserve">AI Risk Assessment Framework v1.0  |  Confidential  |  For portfolio/professional use</t>
  </si>
  <si>
    <t xml:space="preserve">AI RISK ASSESSMENT — QUESTION CHECKLIST</t>
  </si>
  <si>
    <t xml:space="preserve">Instructions: Score each question 1 (Very Low) to 5 (Critical). Add assessor notes in the Notes column.</t>
  </si>
  <si>
    <t xml:space="preserve">#</t>
  </si>
  <si>
    <t xml:space="preserve">Assessment Question</t>
  </si>
  <si>
    <t xml:space="preserve">Risk Level</t>
  </si>
  <si>
    <t xml:space="preserve">Score (1–5)</t>
  </si>
  <si>
    <t xml:space="preserve">Notes / Evidence</t>
  </si>
  <si>
    <t xml:space="preserve">D1 — BIAS &amp; FAIRNESS</t>
  </si>
  <si>
    <t xml:space="preserve">D1.1</t>
  </si>
  <si>
    <t xml:space="preserve">Has the training data been audited for demographic or historical bias?</t>
  </si>
  <si>
    <t xml:space="preserve">High</t>
  </si>
  <si>
    <t xml:space="preserve">D1.2</t>
  </si>
  <si>
    <t xml:space="preserve">Are fairness metrics (e.g., equalized odds, demographic parity) defined and monitored?</t>
  </si>
  <si>
    <t xml:space="preserve">D1.3</t>
  </si>
  <si>
    <t xml:space="preserve">Does the system undergo bias testing across different demographic groups?</t>
  </si>
  <si>
    <t xml:space="preserve">D1.4</t>
  </si>
  <si>
    <t xml:space="preserve">Are disparate impact analyses conducted before deployment in high-stakes decisions?</t>
  </si>
  <si>
    <t xml:space="preserve">D1.5</t>
  </si>
  <si>
    <t xml:space="preserve">Is there a documented process to remediate bias when discovered post-deployment?</t>
  </si>
  <si>
    <t xml:space="preserve">Medium</t>
  </si>
  <si>
    <t xml:space="preserve">D1.6</t>
  </si>
  <si>
    <t xml:space="preserve">Are proxy variables that could introduce indirect bias identified and controlled?</t>
  </si>
  <si>
    <t xml:space="preserve">D1.7</t>
  </si>
  <si>
    <t xml:space="preserve">Is model performance (accuracy, FPR, FNR) monitored separately per subgroup?</t>
  </si>
  <si>
    <t xml:space="preserve">D2 — DATA PRIVACY &amp; PROTECTION</t>
  </si>
  <si>
    <t xml:space="preserve">D2.1</t>
  </si>
  <si>
    <t xml:space="preserve">Is PII/sensitive data identified, classified, and minimized in training datasets?</t>
  </si>
  <si>
    <t xml:space="preserve">D2.2</t>
  </si>
  <si>
    <t xml:space="preserve">Are data retention policies enforced, with deletion schedules documented?</t>
  </si>
  <si>
    <t xml:space="preserve">D2.3</t>
  </si>
  <si>
    <t xml:space="preserve">Is consent obtained and recorded for personal data used in model training?</t>
  </si>
  <si>
    <t xml:space="preserve">D2.4</t>
  </si>
  <si>
    <t xml:space="preserve">Is differential privacy or data anonymization applied to training datasets?</t>
  </si>
  <si>
    <t xml:space="preserve">D2.5</t>
  </si>
  <si>
    <t xml:space="preserve">Are data processing activities documented in compliance with GDPR/CCPA requirements?</t>
  </si>
  <si>
    <t xml:space="preserve">D2.6</t>
  </si>
  <si>
    <t xml:space="preserve">Is there a process to honor data subject access requests (DSAR) relating to AI outputs?</t>
  </si>
  <si>
    <t xml:space="preserve">D2.7</t>
  </si>
  <si>
    <t xml:space="preserve">Is data shared with third-party vendors governed by DPAs and contractual controls?</t>
  </si>
  <si>
    <t xml:space="preserve">D2.8</t>
  </si>
  <si>
    <t xml:space="preserve">Are model memorization and training data extraction risks evaluated?</t>
  </si>
  <si>
    <t xml:space="preserve">D3 — MODEL TRANSPARENCY &amp; EXPLAINABILITY</t>
  </si>
  <si>
    <t xml:space="preserve">D3.1</t>
  </si>
  <si>
    <t xml:space="preserve">Can the system provide human-understandable explanations for its outputs?</t>
  </si>
  <si>
    <t xml:space="preserve">D3.2</t>
  </si>
  <si>
    <t xml:space="preserve">Is model documentation (model cards, datasheets) maintained and publicly available?</t>
  </si>
  <si>
    <t xml:space="preserve">D3.3</t>
  </si>
  <si>
    <t xml:space="preserve">Are feature importance and decision attribution methods implemented?</t>
  </si>
  <si>
    <t xml:space="preserve">D3.4</t>
  </si>
  <si>
    <t xml:space="preserve">Are stakeholders (including end-users) informed that they are interacting with AI?</t>
  </si>
  <si>
    <t xml:space="preserve">D3.5</t>
  </si>
  <si>
    <t xml:space="preserve">Is there a mechanism for users to contest AI-generated decisions?</t>
  </si>
  <si>
    <t xml:space="preserve">D3.6</t>
  </si>
  <si>
    <t xml:space="preserve">Are model limitations, known failure modes, and confidence levels documented?</t>
  </si>
  <si>
    <t xml:space="preserve">D3.7</t>
  </si>
  <si>
    <t xml:space="preserve">Are audit logs of model inputs and outputs retained for forensic analysis?</t>
  </si>
  <si>
    <t xml:space="preserve">D4 — SECURITY RISKS</t>
  </si>
  <si>
    <t xml:space="preserve">D4.1</t>
  </si>
  <si>
    <t xml:space="preserve">Has the model been tested against adversarial input attacks (e.g., evasion, poisoning)?</t>
  </si>
  <si>
    <t xml:space="preserve">Critical</t>
  </si>
  <si>
    <t xml:space="preserve">D4.2</t>
  </si>
  <si>
    <t xml:space="preserve">Are prompt injection and jailbreak attack vectors identified and mitigated?</t>
  </si>
  <si>
    <t xml:space="preserve">D4.3</t>
  </si>
  <si>
    <t xml:space="preserve">Is model inversion or membership inference attack risk assessed and controlled?</t>
  </si>
  <si>
    <t xml:space="preserve">D4.4</t>
  </si>
  <si>
    <t xml:space="preserve">Are API rate limits, authentication, and access controls enforced for model endpoints?</t>
  </si>
  <si>
    <t xml:space="preserve">D4.5</t>
  </si>
  <si>
    <t xml:space="preserve">Is the model supply chain (training data, dependencies, libraries) verified for integrity?</t>
  </si>
  <si>
    <t xml:space="preserve">D4.6</t>
  </si>
  <si>
    <t xml:space="preserve">Are outputs sanitized to prevent data leakage of sensitive training information?</t>
  </si>
  <si>
    <t xml:space="preserve">D4.7</t>
  </si>
  <si>
    <t xml:space="preserve">Is there a documented incident response plan specific to AI system compromise?</t>
  </si>
  <si>
    <t xml:space="preserve">D4.8</t>
  </si>
  <si>
    <t xml:space="preserve">Are model weights and intellectual property protected against exfiltration?</t>
  </si>
  <si>
    <t xml:space="preserve">D4.9</t>
  </si>
  <si>
    <t xml:space="preserve">Is continuous monitoring in place to detect anomalous model behavior in production?</t>
  </si>
  <si>
    <t xml:space="preserve">D5 — ACCOUNTABILITY &amp; GOVERNANCE</t>
  </si>
  <si>
    <t xml:space="preserve">D5.1</t>
  </si>
  <si>
    <t xml:space="preserve">Is there a designated AI Risk Owner or AI Ethics Officer with clear accountability?</t>
  </si>
  <si>
    <t xml:space="preserve">D5.2</t>
  </si>
  <si>
    <t xml:space="preserve">Does an AI governance committee or oversight body review high-risk AI deployments?</t>
  </si>
  <si>
    <t xml:space="preserve">D5.3</t>
  </si>
  <si>
    <t xml:space="preserve">Is a human-in-the-loop (HITL) process defined for high-stakes AI decisions?</t>
  </si>
  <si>
    <t xml:space="preserve">D5.4</t>
  </si>
  <si>
    <t xml:space="preserve">Are AI risk policies formally documented and reviewed at least annually?</t>
  </si>
  <si>
    <t xml:space="preserve">D5.5</t>
  </si>
  <si>
    <t xml:space="preserve">Is an AI model inventory maintained listing all systems in production?</t>
  </si>
  <si>
    <t xml:space="preserve">D5.6</t>
  </si>
  <si>
    <t xml:space="preserve">Are third-party AI vendors subject to risk assessment and contractual AI governance clauses?</t>
  </si>
  <si>
    <t xml:space="preserve">D5.7</t>
  </si>
  <si>
    <t xml:space="preserve">Are incidents and near-misses relating to AI decisions documented and reviewed?</t>
  </si>
  <si>
    <t xml:space="preserve">D5.8</t>
  </si>
  <si>
    <t xml:space="preserve">Is training provided to staff deploying or relying on AI system outputs?</t>
  </si>
  <si>
    <t xml:space="preserve">D6 — COMPLIANCE &amp; LEGAL RISK</t>
  </si>
  <si>
    <t xml:space="preserve">D6.1</t>
  </si>
  <si>
    <t xml:space="preserve">Has a legal review been conducted for AI use cases in regulated industries or jurisdictions?</t>
  </si>
  <si>
    <t xml:space="preserve">D6.2</t>
  </si>
  <si>
    <t xml:space="preserve">Is the AI system assessed against the EU AI Act risk classification requirements?</t>
  </si>
  <si>
    <t xml:space="preserve">D6.3</t>
  </si>
  <si>
    <t xml:space="preserve">Are copyright/IP ownership issues resolved for training data and model outputs?</t>
  </si>
  <si>
    <t xml:space="preserve">D6.4</t>
  </si>
  <si>
    <t xml:space="preserve">Are sector-specific regulations (HIPAA, FCRA, ECOA) evaluated for applicable AI use cases?</t>
  </si>
  <si>
    <t xml:space="preserve">D6.5</t>
  </si>
  <si>
    <t xml:space="preserve">Is there a documented process to assess and respond to new AI regulation?</t>
  </si>
  <si>
    <t xml:space="preserve">D6.6</t>
  </si>
  <si>
    <t xml:space="preserve">Are contractual AI liability limitations reviewed with legal counsel?</t>
  </si>
  <si>
    <t xml:space="preserve">D6.7</t>
  </si>
  <si>
    <t xml:space="preserve">Is cross-border data transfer compliance maintained for AI training and inference?</t>
  </si>
  <si>
    <t xml:space="preserve">SCORING DASHBOARD</t>
  </si>
  <si>
    <t xml:space="preserve">Scores auto-populate from the Checklist sheet. Update individual question scores on Sheet 2.</t>
  </si>
  <si>
    <t xml:space="preserve"># Questions</t>
  </si>
  <si>
    <t xml:space="preserve">Avg Score (1–5)</t>
  </si>
  <si>
    <t xml:space="preserve">Weighted Score</t>
  </si>
  <si>
    <t xml:space="preserve">OVERALL WEIGHTED RISK SCORE</t>
  </si>
  <si>
    <t xml:space="preserve">100%</t>
  </si>
  <si>
    <t xml:space="preserve">RISK RATING THRESHOLDS</t>
  </si>
  <si>
    <t xml:space="preserve">LOW</t>
  </si>
  <si>
    <t xml:space="preserve">Score &lt; 2.5</t>
  </si>
  <si>
    <t xml:space="preserve">Acceptable risk. Maintain controls and monitor.</t>
  </si>
  <si>
    <t xml:space="preserve">MODERATE</t>
  </si>
  <si>
    <t xml:space="preserve">2.5 – 3.4</t>
  </si>
  <si>
    <t xml:space="preserve">Elevated risk. Implement mitigations within 90 days.</t>
  </si>
  <si>
    <t xml:space="preserve">HIGH</t>
  </si>
  <si>
    <t xml:space="preserve">3.5 – 4.4</t>
  </si>
  <si>
    <t xml:space="preserve">Significant risk. Immediate remediation plan required.</t>
  </si>
  <si>
    <t xml:space="preserve">CRITICAL</t>
  </si>
  <si>
    <t xml:space="preserve">Score ≥ 4.5</t>
  </si>
  <si>
    <t xml:space="preserve">Severe risk. Consider halting deployment pending remediation.</t>
  </si>
  <si>
    <t xml:space="preserve">AI RISK ASSESSMENT REPORT — SAMPLE: ChatGPT (GPT-4)</t>
  </si>
  <si>
    <t xml:space="preserve">System Assessed:</t>
  </si>
  <si>
    <t xml:space="preserve">ChatGPT (GPT-4, OpenAI)</t>
  </si>
  <si>
    <t xml:space="preserve">Assessment Date:</t>
  </si>
  <si>
    <t xml:space="preserve">April 2026</t>
  </si>
  <si>
    <t xml:space="preserve">Assessor:</t>
  </si>
  <si>
    <t xml:space="preserve">AI GRC Portfolio Project</t>
  </si>
  <si>
    <t xml:space="preserve">Classification:</t>
  </si>
  <si>
    <t xml:space="preserve">CONFIDENTIAL — SAMPLE</t>
  </si>
  <si>
    <t xml:space="preserve">Framework:</t>
  </si>
  <si>
    <t xml:space="preserve">NIST AI RMF 1.0 | ISO/IEC 42001</t>
  </si>
  <si>
    <t xml:space="preserve">DOMAIN RISK SCORES — CHATGPT SAMPLE ASSESSMENT</t>
  </si>
  <si>
    <t xml:space="preserve">OVERALL RISK SCORE</t>
  </si>
  <si>
    <t xml:space="preserve">🔴  HIGH RISK (3.72)</t>
  </si>
  <si>
    <t xml:space="preserve">TOP 5 IDENTIFIED RISKS</t>
  </si>
  <si>
    <t xml:space="preserve">Risk</t>
  </si>
  <si>
    <t xml:space="preserve">Severity</t>
  </si>
  <si>
    <t xml:space="preserve">Recommended Mitigation</t>
  </si>
  <si>
    <t xml:space="preserve">1</t>
  </si>
  <si>
    <t xml:space="preserve">Prompt injection enabling policy bypass or data exfiltration</t>
  </si>
  <si>
    <t xml:space="preserve">Security</t>
  </si>
  <si>
    <t xml:space="preserve">Implement input sanitization, output filtering, and adversarial red-teaming</t>
  </si>
  <si>
    <t xml:space="preserve">2</t>
  </si>
  <si>
    <t xml:space="preserve">Training data memorization leaking PII in model outputs</t>
  </si>
  <si>
    <t xml:space="preserve">Data Privacy</t>
  </si>
  <si>
    <t xml:space="preserve">Apply differential privacy, output monitoring, and PII detection filters</t>
  </si>
  <si>
    <t xml:space="preserve">3</t>
  </si>
  <si>
    <t xml:space="preserve">Opaque reasoning with no contestation mechanism for high-stakes outputs</t>
  </si>
  <si>
    <t xml:space="preserve">Transparency</t>
  </si>
  <si>
    <t xml:space="preserve">Deploy model cards, confidence scores, and user appeal workflows</t>
  </si>
  <si>
    <t xml:space="preserve">4</t>
  </si>
  <si>
    <t xml:space="preserve">Cross-border data transfer non-compliance under GDPR/EU AI Act</t>
  </si>
  <si>
    <t xml:space="preserve">Compliance</t>
  </si>
  <si>
    <t xml:space="preserve">Legal review of data flows; SCCs or data localization controls</t>
  </si>
  <si>
    <t xml:space="preserve">5</t>
  </si>
  <si>
    <t xml:space="preserve">Demographic bias in content moderation or decision-support outputs</t>
  </si>
  <si>
    <t xml:space="preserve">Regular fairness audits, subgroup performance monitoring, bias red-teams</t>
  </si>
  <si>
    <t xml:space="preserve">KEY RECOMMENDATIONS</t>
  </si>
  <si>
    <t xml:space="preserve">Immediate (0–30 days)</t>
  </si>
  <si>
    <t xml:space="preserve">Conduct adversarial red-team exercise targeting prompt injection; patch output filters.</t>
  </si>
  <si>
    <t xml:space="preserve">Short-term (30–90 days)</t>
  </si>
  <si>
    <t xml:space="preserve">Commission independent bias audit; implement subgroup monitoring dashboards.</t>
  </si>
  <si>
    <t xml:space="preserve">Medium-term (90–180 days)</t>
  </si>
  <si>
    <t xml:space="preserve">Publish model card; establish AI governance committee and AI risk register.</t>
  </si>
  <si>
    <t xml:space="preserve">Long-term (180+ days)</t>
  </si>
  <si>
    <t xml:space="preserve">Achieve ISO/IEC 42001 certification; integrate AI risk into enterprise ERM program.</t>
  </si>
  <si>
    <t xml:space="preserve">AI Risk Assessment Framework v1.0  |  Sample Assessment: ChatGPT (GPT-4)  |  Not for production use without customization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</si>
</sst>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B7770D"/>
      <name val="Arial"/>
      <family val="0"/>
      <charset val="1"/>
    </font>
    <font>
      <sz val="10"/>
      <color rgb="FFB7770D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i val="true"/>
      <sz val="9"/>
      <color rgb="FFD0D7E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sz val="10"/>
      <color rgb="FF922B2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243B6E"/>
      <name val="Arial"/>
      <family val="0"/>
      <charset val="1"/>
    </font>
    <font>
      <sz val="1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243B6E"/>
      </patternFill>
    </fill>
    <fill>
      <patternFill patternType="solid">
        <fgColor rgb="FF2E5FA3"/>
        <bgColor rgb="FF1A5276"/>
      </patternFill>
    </fill>
    <fill>
      <patternFill patternType="solid">
        <fgColor rgb="FFD6E4F7"/>
        <bgColor rgb="FFD0D7E3"/>
      </patternFill>
    </fill>
    <fill>
      <patternFill patternType="solid">
        <fgColor rgb="FF243B6E"/>
        <bgColor rgb="FF1B4F72"/>
      </patternFill>
    </fill>
    <fill>
      <patternFill patternType="solid">
        <fgColor rgb="FFF5F7FA"/>
        <bgColor rgb="FFE9F7EF"/>
      </patternFill>
    </fill>
    <fill>
      <patternFill patternType="solid">
        <fgColor rgb="FFFFFFFF"/>
        <bgColor rgb="FFF5F7FA"/>
      </patternFill>
    </fill>
    <fill>
      <patternFill patternType="solid">
        <fgColor rgb="FFE9F7EF"/>
        <bgColor rgb="FFF5F7FA"/>
      </patternFill>
    </fill>
    <fill>
      <patternFill patternType="solid">
        <fgColor rgb="FFFEF9E7"/>
        <bgColor rgb="FFF5F7FA"/>
      </patternFill>
    </fill>
    <fill>
      <patternFill patternType="solid">
        <fgColor rgb="FFFDECEA"/>
        <bgColor rgb="FFFEF9E7"/>
      </patternFill>
    </fill>
    <fill>
      <patternFill patternType="solid">
        <fgColor rgb="FF5B2C6F"/>
        <bgColor rgb="FF4A4A4A"/>
      </patternFill>
    </fill>
    <fill>
      <patternFill patternType="solid">
        <fgColor rgb="FF1A5276"/>
        <bgColor rgb="FF1B4F72"/>
      </patternFill>
    </fill>
    <fill>
      <patternFill patternType="solid">
        <fgColor rgb="FF117A65"/>
        <bgColor rgb="FF1E8449"/>
      </patternFill>
    </fill>
    <fill>
      <patternFill patternType="solid">
        <fgColor rgb="FF922B21"/>
        <bgColor rgb="FF784212"/>
      </patternFill>
    </fill>
    <fill>
      <patternFill patternType="solid">
        <fgColor rgb="FF784212"/>
        <bgColor rgb="FF922B21"/>
      </patternFill>
    </fill>
    <fill>
      <patternFill patternType="solid">
        <fgColor rgb="FF1B4F72"/>
        <bgColor rgb="FF1A5276"/>
      </patternFill>
    </fill>
    <fill>
      <patternFill patternType="solid">
        <fgColor rgb="FFC0392B"/>
        <bgColor rgb="FF922B2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 diagonalUp="false" diagonalDown="false">
      <left style="thin">
        <color rgb="FFD0D7E3"/>
      </left>
      <right/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70D"/>
      <rgbColor rgb="FF800080"/>
      <rgbColor rgb="FF117A65"/>
      <rgbColor rgb="FFC0C0C0"/>
      <rgbColor rgb="FF808080"/>
      <rgbColor rgb="FF9999FF"/>
      <rgbColor rgb="FFC0392B"/>
      <rgbColor rgb="FFFEF9E7"/>
      <rgbColor rgb="FFE9F7EF"/>
      <rgbColor rgb="FF5B2C6F"/>
      <rgbColor rgb="FFFF8080"/>
      <rgbColor rgb="FF2E5FA3"/>
      <rgbColor rgb="FFD0D7E3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D6E4F7"/>
      <rgbColor rgb="FFF5F7FA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13A"/>
      <rgbColor rgb="FF666699"/>
      <rgbColor rgb="FF969696"/>
      <rgbColor rgb="FF1B4F72"/>
      <rgbColor rgb="FF1E8449"/>
      <rgbColor rgb="FF003300"/>
      <rgbColor rgb="FF4A4A4A"/>
      <rgbColor rgb="FF922B21"/>
      <rgbColor rgb="FF784212"/>
      <rgbColor rgb="FF243B6E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1:D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4"/>
  </cols>
  <sheetData>
    <row r="1" customFormat="false" ht="54.75" hidden="false" customHeight="true" outlineLevel="0" collapsed="false">
      <c r="B1" s="1" t="s">
        <v>0</v>
      </c>
      <c r="C1" s="1"/>
      <c r="D1" s="1"/>
    </row>
    <row r="2" customFormat="false" ht="18" hidden="false" customHeight="true" outlineLevel="0" collapsed="false">
      <c r="B2" s="1"/>
      <c r="C2" s="1"/>
      <c r="D2" s="1"/>
    </row>
    <row r="3" customFormat="false" ht="18" hidden="false" customHeight="true" outlineLevel="0" collapsed="false">
      <c r="B3" s="1"/>
      <c r="C3" s="1"/>
      <c r="D3" s="1"/>
    </row>
    <row r="4" customFormat="false" ht="21.75" hidden="false" customHeight="true" outlineLevel="0" collapsed="false">
      <c r="B4" s="2" t="s">
        <v>1</v>
      </c>
      <c r="C4" s="2"/>
      <c r="D4" s="2"/>
    </row>
    <row r="5" customFormat="false" ht="18" hidden="false" customHeight="true" outlineLevel="0" collapsed="false"/>
    <row r="6" customFormat="false" ht="21.75" hidden="false" customHeight="true" outlineLevel="0" collapsed="false">
      <c r="B6" s="3" t="s">
        <v>2</v>
      </c>
      <c r="C6" s="3"/>
      <c r="D6" s="3"/>
    </row>
    <row r="7" customFormat="false" ht="24" hidden="false" customHeight="true" outlineLevel="0" collapsed="false">
      <c r="B7" s="4" t="s">
        <v>3</v>
      </c>
      <c r="C7" s="4"/>
      <c r="D7" s="4"/>
    </row>
    <row r="8" customFormat="false" ht="24" hidden="false" customHeight="true" outlineLevel="0" collapsed="false">
      <c r="B8" s="4" t="s">
        <v>4</v>
      </c>
      <c r="C8" s="4"/>
      <c r="D8" s="4"/>
    </row>
    <row r="9" customFormat="false" ht="24" hidden="false" customHeight="true" outlineLevel="0" collapsed="false">
      <c r="B9" s="4" t="s">
        <v>5</v>
      </c>
      <c r="C9" s="4"/>
      <c r="D9" s="4"/>
    </row>
    <row r="10" customFormat="false" ht="18" hidden="false" customHeight="true" outlineLevel="0" collapsed="false"/>
    <row r="11" customFormat="false" ht="21.75" hidden="false" customHeight="true" outlineLevel="0" collapsed="false">
      <c r="B11" s="3" t="s">
        <v>6</v>
      </c>
      <c r="C11" s="3"/>
      <c r="D11" s="3"/>
    </row>
    <row r="12" customFormat="false" ht="19.5" hidden="false" customHeight="true" outlineLevel="0" collapsed="false">
      <c r="B12" s="5" t="s">
        <v>7</v>
      </c>
      <c r="C12" s="5" t="s">
        <v>8</v>
      </c>
      <c r="D12" s="5" t="s">
        <v>9</v>
      </c>
    </row>
    <row r="13" customFormat="false" ht="30" hidden="false" customHeight="true" outlineLevel="0" collapsed="false">
      <c r="B13" s="6" t="s">
        <v>10</v>
      </c>
      <c r="C13" s="7" t="s">
        <v>11</v>
      </c>
      <c r="D13" s="8" t="s">
        <v>12</v>
      </c>
    </row>
    <row r="14" customFormat="false" ht="30" hidden="false" customHeight="true" outlineLevel="0" collapsed="false">
      <c r="B14" s="6" t="s">
        <v>13</v>
      </c>
      <c r="C14" s="9" t="s">
        <v>14</v>
      </c>
      <c r="D14" s="10" t="s">
        <v>15</v>
      </c>
    </row>
    <row r="15" customFormat="false" ht="30" hidden="false" customHeight="true" outlineLevel="0" collapsed="false">
      <c r="B15" s="6" t="s">
        <v>16</v>
      </c>
      <c r="C15" s="7" t="s">
        <v>17</v>
      </c>
      <c r="D15" s="8" t="s">
        <v>18</v>
      </c>
    </row>
    <row r="16" customFormat="false" ht="30" hidden="false" customHeight="true" outlineLevel="0" collapsed="false">
      <c r="B16" s="6" t="s">
        <v>19</v>
      </c>
      <c r="C16" s="9" t="s">
        <v>20</v>
      </c>
      <c r="D16" s="10" t="s">
        <v>21</v>
      </c>
    </row>
    <row r="17" customFormat="false" ht="18" hidden="false" customHeight="true" outlineLevel="0" collapsed="false"/>
    <row r="18" customFormat="false" ht="21.75" hidden="false" customHeight="true" outlineLevel="0" collapsed="false">
      <c r="B18" s="3" t="s">
        <v>22</v>
      </c>
      <c r="C18" s="3"/>
      <c r="D18" s="3"/>
    </row>
    <row r="19" customFormat="false" ht="19.5" hidden="false" customHeight="true" outlineLevel="0" collapsed="false">
      <c r="B19" s="5" t="s">
        <v>23</v>
      </c>
      <c r="C19" s="5" t="s">
        <v>24</v>
      </c>
      <c r="D19" s="5" t="s">
        <v>25</v>
      </c>
    </row>
    <row r="20" customFormat="false" ht="21.75" hidden="false" customHeight="true" outlineLevel="0" collapsed="false">
      <c r="B20" s="11" t="s">
        <v>26</v>
      </c>
      <c r="C20" s="12" t="s">
        <v>27</v>
      </c>
      <c r="D20" s="12" t="s">
        <v>28</v>
      </c>
    </row>
    <row r="21" customFormat="false" ht="21.75" hidden="false" customHeight="true" outlineLevel="0" collapsed="false">
      <c r="B21" s="11" t="s">
        <v>29</v>
      </c>
      <c r="C21" s="12" t="s">
        <v>30</v>
      </c>
      <c r="D21" s="12" t="s">
        <v>31</v>
      </c>
    </row>
    <row r="22" customFormat="false" ht="21.75" hidden="false" customHeight="true" outlineLevel="0" collapsed="false">
      <c r="B22" s="13" t="s">
        <v>32</v>
      </c>
      <c r="C22" s="14" t="s">
        <v>33</v>
      </c>
      <c r="D22" s="14" t="s">
        <v>34</v>
      </c>
    </row>
    <row r="23" customFormat="false" ht="21.75" hidden="false" customHeight="true" outlineLevel="0" collapsed="false">
      <c r="B23" s="15" t="s">
        <v>35</v>
      </c>
      <c r="C23" s="16" t="s">
        <v>36</v>
      </c>
      <c r="D23" s="16" t="s">
        <v>37</v>
      </c>
    </row>
    <row r="24" customFormat="false" ht="21.75" hidden="false" customHeight="true" outlineLevel="0" collapsed="false">
      <c r="B24" s="15" t="s">
        <v>38</v>
      </c>
      <c r="C24" s="16" t="s">
        <v>39</v>
      </c>
      <c r="D24" s="16" t="s">
        <v>40</v>
      </c>
    </row>
    <row r="25" customFormat="false" ht="18" hidden="false" customHeight="true" outlineLevel="0" collapsed="false"/>
    <row r="26" customFormat="false" ht="21.75" hidden="false" customHeight="true" outlineLevel="0" collapsed="false">
      <c r="B26" s="3" t="s">
        <v>41</v>
      </c>
      <c r="C26" s="3"/>
      <c r="D26" s="3"/>
    </row>
    <row r="27" customFormat="false" ht="19.5" hidden="false" customHeight="true" outlineLevel="0" collapsed="false">
      <c r="B27" s="5" t="s">
        <v>42</v>
      </c>
      <c r="C27" s="5" t="s">
        <v>43</v>
      </c>
      <c r="D27" s="5" t="s">
        <v>44</v>
      </c>
    </row>
    <row r="28" customFormat="false" ht="21.75" hidden="false" customHeight="true" outlineLevel="0" collapsed="false">
      <c r="B28" s="9" t="s">
        <v>45</v>
      </c>
      <c r="C28" s="17" t="s">
        <v>46</v>
      </c>
      <c r="D28" s="10" t="s">
        <v>47</v>
      </c>
    </row>
    <row r="29" customFormat="false" ht="21.75" hidden="false" customHeight="true" outlineLevel="0" collapsed="false">
      <c r="B29" s="7" t="s">
        <v>48</v>
      </c>
      <c r="C29" s="18" t="s">
        <v>49</v>
      </c>
      <c r="D29" s="8" t="s">
        <v>50</v>
      </c>
    </row>
    <row r="30" customFormat="false" ht="21.75" hidden="false" customHeight="true" outlineLevel="0" collapsed="false">
      <c r="B30" s="9" t="s">
        <v>51</v>
      </c>
      <c r="C30" s="17" t="s">
        <v>52</v>
      </c>
      <c r="D30" s="10" t="s">
        <v>53</v>
      </c>
    </row>
    <row r="31" customFormat="false" ht="21.75" hidden="false" customHeight="true" outlineLevel="0" collapsed="false">
      <c r="B31" s="7" t="s">
        <v>54</v>
      </c>
      <c r="C31" s="18" t="s">
        <v>52</v>
      </c>
      <c r="D31" s="8" t="s">
        <v>55</v>
      </c>
    </row>
    <row r="32" customFormat="false" ht="21.75" hidden="false" customHeight="true" outlineLevel="0" collapsed="false">
      <c r="B32" s="9" t="s">
        <v>56</v>
      </c>
      <c r="C32" s="17" t="s">
        <v>52</v>
      </c>
      <c r="D32" s="10" t="s">
        <v>57</v>
      </c>
    </row>
    <row r="33" customFormat="false" ht="21.75" hidden="false" customHeight="true" outlineLevel="0" collapsed="false">
      <c r="B33" s="7" t="s">
        <v>58</v>
      </c>
      <c r="C33" s="18" t="s">
        <v>59</v>
      </c>
      <c r="D33" s="8" t="s">
        <v>60</v>
      </c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>
      <c r="B36" s="19" t="s">
        <v>61</v>
      </c>
      <c r="C36" s="19"/>
      <c r="D36" s="19"/>
    </row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10">
    <mergeCell ref="B1:D3"/>
    <mergeCell ref="B4:D4"/>
    <mergeCell ref="B6:D6"/>
    <mergeCell ref="B7:D7"/>
    <mergeCell ref="B8:D8"/>
    <mergeCell ref="B9:D9"/>
    <mergeCell ref="B11:D11"/>
    <mergeCell ref="B18:D18"/>
    <mergeCell ref="B26:D26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B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6" min="4" style="0" width="14"/>
    <col collapsed="false" customWidth="true" hidden="false" outlineLevel="0" max="7" min="7" style="0" width="28"/>
    <col collapsed="false" customWidth="true" hidden="false" outlineLevel="0" max="8" min="8" style="0" width="4"/>
  </cols>
  <sheetData>
    <row r="1" customFormat="false" ht="49.5" hidden="false" customHeight="true" outlineLevel="0" collapsed="false">
      <c r="B1" s="20" t="s">
        <v>62</v>
      </c>
      <c r="C1" s="20"/>
      <c r="D1" s="20"/>
      <c r="E1" s="20"/>
      <c r="F1" s="20"/>
      <c r="G1" s="20"/>
    </row>
    <row r="2" customFormat="false" ht="21.75" hidden="false" customHeight="true" outlineLevel="0" collapsed="false">
      <c r="B2" s="2" t="s">
        <v>63</v>
      </c>
      <c r="C2" s="2"/>
      <c r="D2" s="2"/>
      <c r="E2" s="2"/>
      <c r="F2" s="2"/>
      <c r="G2" s="2"/>
    </row>
    <row r="3" customFormat="false" ht="36" hidden="false" customHeight="true" outlineLevel="0" collapsed="false">
      <c r="B3" s="21" t="s">
        <v>64</v>
      </c>
      <c r="C3" s="21" t="s">
        <v>65</v>
      </c>
      <c r="D3" s="21" t="s">
        <v>66</v>
      </c>
      <c r="E3" s="21" t="s">
        <v>67</v>
      </c>
      <c r="F3" s="5" t="s">
        <v>43</v>
      </c>
      <c r="G3" s="21" t="s">
        <v>68</v>
      </c>
    </row>
    <row r="4" customFormat="false" ht="27.75" hidden="false" customHeight="true" outlineLevel="0" collapsed="false">
      <c r="B4" s="22" t="s">
        <v>69</v>
      </c>
      <c r="C4" s="22"/>
      <c r="D4" s="22"/>
      <c r="E4" s="22"/>
      <c r="F4" s="22"/>
      <c r="G4" s="22"/>
    </row>
    <row r="5" customFormat="false" ht="31.5" hidden="false" customHeight="true" outlineLevel="0" collapsed="false">
      <c r="B5" s="17" t="s">
        <v>70</v>
      </c>
      <c r="C5" s="10" t="s">
        <v>71</v>
      </c>
      <c r="D5" s="15" t="s">
        <v>72</v>
      </c>
      <c r="E5" s="17" t="n">
        <v>3</v>
      </c>
      <c r="F5" s="23" t="n">
        <v>0.15</v>
      </c>
      <c r="G5" s="24"/>
    </row>
    <row r="6" customFormat="false" ht="31.5" hidden="false" customHeight="true" outlineLevel="0" collapsed="false">
      <c r="B6" s="18" t="s">
        <v>73</v>
      </c>
      <c r="C6" s="8" t="s">
        <v>74</v>
      </c>
      <c r="D6" s="15" t="s">
        <v>72</v>
      </c>
      <c r="E6" s="18" t="n">
        <v>3</v>
      </c>
      <c r="F6" s="25" t="n">
        <v>0.15</v>
      </c>
      <c r="G6" s="26"/>
    </row>
    <row r="7" customFormat="false" ht="31.5" hidden="false" customHeight="true" outlineLevel="0" collapsed="false">
      <c r="B7" s="17" t="s">
        <v>75</v>
      </c>
      <c r="C7" s="10" t="s">
        <v>76</v>
      </c>
      <c r="D7" s="15" t="s">
        <v>72</v>
      </c>
      <c r="E7" s="17" t="n">
        <v>3</v>
      </c>
      <c r="F7" s="23" t="n">
        <v>0.15</v>
      </c>
      <c r="G7" s="24"/>
    </row>
    <row r="8" customFormat="false" ht="31.5" hidden="false" customHeight="true" outlineLevel="0" collapsed="false">
      <c r="B8" s="18" t="s">
        <v>77</v>
      </c>
      <c r="C8" s="8" t="s">
        <v>78</v>
      </c>
      <c r="D8" s="15" t="s">
        <v>72</v>
      </c>
      <c r="E8" s="18" t="n">
        <v>3</v>
      </c>
      <c r="F8" s="25" t="n">
        <v>0.15</v>
      </c>
      <c r="G8" s="26"/>
    </row>
    <row r="9" customFormat="false" ht="31.5" hidden="false" customHeight="true" outlineLevel="0" collapsed="false">
      <c r="B9" s="17" t="s">
        <v>79</v>
      </c>
      <c r="C9" s="10" t="s">
        <v>80</v>
      </c>
      <c r="D9" s="13" t="s">
        <v>81</v>
      </c>
      <c r="E9" s="17" t="n">
        <v>3</v>
      </c>
      <c r="F9" s="23" t="n">
        <v>0.15</v>
      </c>
      <c r="G9" s="24"/>
    </row>
    <row r="10" customFormat="false" ht="31.5" hidden="false" customHeight="true" outlineLevel="0" collapsed="false">
      <c r="B10" s="18" t="s">
        <v>82</v>
      </c>
      <c r="C10" s="8" t="s">
        <v>83</v>
      </c>
      <c r="D10" s="13" t="s">
        <v>81</v>
      </c>
      <c r="E10" s="18" t="n">
        <v>3</v>
      </c>
      <c r="F10" s="25" t="n">
        <v>0.15</v>
      </c>
      <c r="G10" s="26"/>
    </row>
    <row r="11" customFormat="false" ht="31.5" hidden="false" customHeight="true" outlineLevel="0" collapsed="false">
      <c r="B11" s="17" t="s">
        <v>84</v>
      </c>
      <c r="C11" s="10" t="s">
        <v>85</v>
      </c>
      <c r="D11" s="13" t="s">
        <v>81</v>
      </c>
      <c r="E11" s="17" t="n">
        <v>3</v>
      </c>
      <c r="F11" s="23" t="n">
        <v>0.15</v>
      </c>
      <c r="G11" s="24"/>
    </row>
    <row r="12" customFormat="false" ht="7.5" hidden="false" customHeight="true" outlineLevel="0" collapsed="false"/>
    <row r="13" customFormat="false" ht="27.75" hidden="false" customHeight="true" outlineLevel="0" collapsed="false">
      <c r="B13" s="27" t="s">
        <v>86</v>
      </c>
      <c r="C13" s="27"/>
      <c r="D13" s="27"/>
      <c r="E13" s="27"/>
      <c r="F13" s="27"/>
      <c r="G13" s="27"/>
    </row>
    <row r="14" customFormat="false" ht="31.5" hidden="false" customHeight="true" outlineLevel="0" collapsed="false">
      <c r="B14" s="18" t="s">
        <v>87</v>
      </c>
      <c r="C14" s="8" t="s">
        <v>88</v>
      </c>
      <c r="D14" s="15" t="s">
        <v>72</v>
      </c>
      <c r="E14" s="18" t="n">
        <v>3</v>
      </c>
      <c r="F14" s="25" t="n">
        <v>0.2</v>
      </c>
      <c r="G14" s="26"/>
    </row>
    <row r="15" customFormat="false" ht="31.5" hidden="false" customHeight="true" outlineLevel="0" collapsed="false">
      <c r="B15" s="17" t="s">
        <v>89</v>
      </c>
      <c r="C15" s="10" t="s">
        <v>90</v>
      </c>
      <c r="D15" s="15" t="s">
        <v>72</v>
      </c>
      <c r="E15" s="17" t="n">
        <v>3</v>
      </c>
      <c r="F15" s="23" t="n">
        <v>0.2</v>
      </c>
      <c r="G15" s="24"/>
    </row>
    <row r="16" customFormat="false" ht="31.5" hidden="false" customHeight="true" outlineLevel="0" collapsed="false">
      <c r="B16" s="18" t="s">
        <v>91</v>
      </c>
      <c r="C16" s="8" t="s">
        <v>92</v>
      </c>
      <c r="D16" s="15" t="s">
        <v>72</v>
      </c>
      <c r="E16" s="18" t="n">
        <v>3</v>
      </c>
      <c r="F16" s="25" t="n">
        <v>0.2</v>
      </c>
      <c r="G16" s="26"/>
    </row>
    <row r="17" customFormat="false" ht="31.5" hidden="false" customHeight="true" outlineLevel="0" collapsed="false">
      <c r="B17" s="17" t="s">
        <v>93</v>
      </c>
      <c r="C17" s="10" t="s">
        <v>94</v>
      </c>
      <c r="D17" s="15" t="s">
        <v>72</v>
      </c>
      <c r="E17" s="17" t="n">
        <v>3</v>
      </c>
      <c r="F17" s="23" t="n">
        <v>0.2</v>
      </c>
      <c r="G17" s="24"/>
    </row>
    <row r="18" customFormat="false" ht="31.5" hidden="false" customHeight="true" outlineLevel="0" collapsed="false">
      <c r="B18" s="18" t="s">
        <v>95</v>
      </c>
      <c r="C18" s="8" t="s">
        <v>96</v>
      </c>
      <c r="D18" s="15" t="s">
        <v>72</v>
      </c>
      <c r="E18" s="18" t="n">
        <v>3</v>
      </c>
      <c r="F18" s="25" t="n">
        <v>0.2</v>
      </c>
      <c r="G18" s="26"/>
    </row>
    <row r="19" customFormat="false" ht="31.5" hidden="false" customHeight="true" outlineLevel="0" collapsed="false">
      <c r="B19" s="17" t="s">
        <v>97</v>
      </c>
      <c r="C19" s="10" t="s">
        <v>98</v>
      </c>
      <c r="D19" s="13" t="s">
        <v>81</v>
      </c>
      <c r="E19" s="17" t="n">
        <v>3</v>
      </c>
      <c r="F19" s="23" t="n">
        <v>0.2</v>
      </c>
      <c r="G19" s="24"/>
    </row>
    <row r="20" customFormat="false" ht="31.5" hidden="false" customHeight="true" outlineLevel="0" collapsed="false">
      <c r="B20" s="18" t="s">
        <v>99</v>
      </c>
      <c r="C20" s="8" t="s">
        <v>100</v>
      </c>
      <c r="D20" s="13" t="s">
        <v>81</v>
      </c>
      <c r="E20" s="18" t="n">
        <v>3</v>
      </c>
      <c r="F20" s="25" t="n">
        <v>0.2</v>
      </c>
      <c r="G20" s="26"/>
    </row>
    <row r="21" customFormat="false" ht="31.5" hidden="false" customHeight="true" outlineLevel="0" collapsed="false">
      <c r="B21" s="17" t="s">
        <v>101</v>
      </c>
      <c r="C21" s="10" t="s">
        <v>102</v>
      </c>
      <c r="D21" s="15" t="s">
        <v>72</v>
      </c>
      <c r="E21" s="17" t="n">
        <v>3</v>
      </c>
      <c r="F21" s="23" t="n">
        <v>0.2</v>
      </c>
      <c r="G21" s="24"/>
    </row>
    <row r="22" customFormat="false" ht="7.5" hidden="false" customHeight="true" outlineLevel="0" collapsed="false"/>
    <row r="23" customFormat="false" ht="27.75" hidden="false" customHeight="true" outlineLevel="0" collapsed="false">
      <c r="B23" s="28" t="s">
        <v>103</v>
      </c>
      <c r="C23" s="28"/>
      <c r="D23" s="28"/>
      <c r="E23" s="28"/>
      <c r="F23" s="28"/>
      <c r="G23" s="28"/>
    </row>
    <row r="24" customFormat="false" ht="31.5" hidden="false" customHeight="true" outlineLevel="0" collapsed="false">
      <c r="B24" s="18" t="s">
        <v>104</v>
      </c>
      <c r="C24" s="8" t="s">
        <v>105</v>
      </c>
      <c r="D24" s="13" t="s">
        <v>81</v>
      </c>
      <c r="E24" s="18" t="n">
        <v>3</v>
      </c>
      <c r="F24" s="25" t="n">
        <v>0.1</v>
      </c>
      <c r="G24" s="26"/>
    </row>
    <row r="25" customFormat="false" ht="31.5" hidden="false" customHeight="true" outlineLevel="0" collapsed="false">
      <c r="B25" s="17" t="s">
        <v>106</v>
      </c>
      <c r="C25" s="10" t="s">
        <v>107</v>
      </c>
      <c r="D25" s="13" t="s">
        <v>81</v>
      </c>
      <c r="E25" s="17" t="n">
        <v>3</v>
      </c>
      <c r="F25" s="23" t="n">
        <v>0.1</v>
      </c>
      <c r="G25" s="24"/>
    </row>
    <row r="26" customFormat="false" ht="31.5" hidden="false" customHeight="true" outlineLevel="0" collapsed="false">
      <c r="B26" s="18" t="s">
        <v>108</v>
      </c>
      <c r="C26" s="8" t="s">
        <v>109</v>
      </c>
      <c r="D26" s="13" t="s">
        <v>81</v>
      </c>
      <c r="E26" s="18" t="n">
        <v>3</v>
      </c>
      <c r="F26" s="25" t="n">
        <v>0.1</v>
      </c>
      <c r="G26" s="26"/>
    </row>
    <row r="27" customFormat="false" ht="31.5" hidden="false" customHeight="true" outlineLevel="0" collapsed="false">
      <c r="B27" s="17" t="s">
        <v>110</v>
      </c>
      <c r="C27" s="10" t="s">
        <v>111</v>
      </c>
      <c r="D27" s="15" t="s">
        <v>72</v>
      </c>
      <c r="E27" s="17" t="n">
        <v>3</v>
      </c>
      <c r="F27" s="23" t="n">
        <v>0.1</v>
      </c>
      <c r="G27" s="24"/>
    </row>
    <row r="28" customFormat="false" ht="31.5" hidden="false" customHeight="true" outlineLevel="0" collapsed="false">
      <c r="B28" s="18" t="s">
        <v>112</v>
      </c>
      <c r="C28" s="8" t="s">
        <v>113</v>
      </c>
      <c r="D28" s="15" t="s">
        <v>72</v>
      </c>
      <c r="E28" s="18" t="n">
        <v>3</v>
      </c>
      <c r="F28" s="25" t="n">
        <v>0.1</v>
      </c>
      <c r="G28" s="26"/>
    </row>
    <row r="29" customFormat="false" ht="31.5" hidden="false" customHeight="true" outlineLevel="0" collapsed="false">
      <c r="B29" s="17" t="s">
        <v>114</v>
      </c>
      <c r="C29" s="10" t="s">
        <v>115</v>
      </c>
      <c r="D29" s="13" t="s">
        <v>81</v>
      </c>
      <c r="E29" s="17" t="n">
        <v>3</v>
      </c>
      <c r="F29" s="23" t="n">
        <v>0.1</v>
      </c>
      <c r="G29" s="24"/>
    </row>
    <row r="30" customFormat="false" ht="31.5" hidden="false" customHeight="true" outlineLevel="0" collapsed="false">
      <c r="B30" s="18" t="s">
        <v>116</v>
      </c>
      <c r="C30" s="8" t="s">
        <v>117</v>
      </c>
      <c r="D30" s="13" t="s">
        <v>81</v>
      </c>
      <c r="E30" s="18" t="n">
        <v>3</v>
      </c>
      <c r="F30" s="25" t="n">
        <v>0.1</v>
      </c>
      <c r="G30" s="26"/>
    </row>
    <row r="31" customFormat="false" ht="7.5" hidden="false" customHeight="true" outlineLevel="0" collapsed="false"/>
    <row r="32" customFormat="false" ht="27.75" hidden="false" customHeight="true" outlineLevel="0" collapsed="false">
      <c r="B32" s="29" t="s">
        <v>118</v>
      </c>
      <c r="C32" s="29"/>
      <c r="D32" s="29"/>
      <c r="E32" s="29"/>
      <c r="F32" s="29"/>
      <c r="G32" s="29"/>
    </row>
    <row r="33" customFormat="false" ht="31.5" hidden="false" customHeight="true" outlineLevel="0" collapsed="false">
      <c r="B33" s="17" t="s">
        <v>119</v>
      </c>
      <c r="C33" s="10" t="s">
        <v>120</v>
      </c>
      <c r="D33" s="30" t="s">
        <v>121</v>
      </c>
      <c r="E33" s="17" t="n">
        <v>3</v>
      </c>
      <c r="F33" s="23" t="n">
        <v>0.25</v>
      </c>
      <c r="G33" s="24"/>
    </row>
    <row r="34" customFormat="false" ht="31.5" hidden="false" customHeight="true" outlineLevel="0" collapsed="false">
      <c r="B34" s="18" t="s">
        <v>122</v>
      </c>
      <c r="C34" s="8" t="s">
        <v>123</v>
      </c>
      <c r="D34" s="30" t="s">
        <v>121</v>
      </c>
      <c r="E34" s="18" t="n">
        <v>3</v>
      </c>
      <c r="F34" s="25" t="n">
        <v>0.25</v>
      </c>
      <c r="G34" s="26"/>
    </row>
    <row r="35" customFormat="false" ht="31.5" hidden="false" customHeight="true" outlineLevel="0" collapsed="false">
      <c r="B35" s="17" t="s">
        <v>124</v>
      </c>
      <c r="C35" s="10" t="s">
        <v>125</v>
      </c>
      <c r="D35" s="15" t="s">
        <v>72</v>
      </c>
      <c r="E35" s="17" t="n">
        <v>3</v>
      </c>
      <c r="F35" s="23" t="n">
        <v>0.25</v>
      </c>
      <c r="G35" s="24"/>
    </row>
    <row r="36" customFormat="false" ht="31.5" hidden="false" customHeight="true" outlineLevel="0" collapsed="false">
      <c r="B36" s="18" t="s">
        <v>126</v>
      </c>
      <c r="C36" s="8" t="s">
        <v>127</v>
      </c>
      <c r="D36" s="15" t="s">
        <v>72</v>
      </c>
      <c r="E36" s="18" t="n">
        <v>3</v>
      </c>
      <c r="F36" s="25" t="n">
        <v>0.25</v>
      </c>
      <c r="G36" s="26"/>
    </row>
    <row r="37" customFormat="false" ht="31.5" hidden="false" customHeight="true" outlineLevel="0" collapsed="false">
      <c r="B37" s="17" t="s">
        <v>128</v>
      </c>
      <c r="C37" s="10" t="s">
        <v>129</v>
      </c>
      <c r="D37" s="15" t="s">
        <v>72</v>
      </c>
      <c r="E37" s="17" t="n">
        <v>3</v>
      </c>
      <c r="F37" s="23" t="n">
        <v>0.25</v>
      </c>
      <c r="G37" s="24"/>
    </row>
    <row r="38" customFormat="false" ht="31.5" hidden="false" customHeight="true" outlineLevel="0" collapsed="false">
      <c r="B38" s="18" t="s">
        <v>130</v>
      </c>
      <c r="C38" s="8" t="s">
        <v>131</v>
      </c>
      <c r="D38" s="30" t="s">
        <v>121</v>
      </c>
      <c r="E38" s="18" t="n">
        <v>3</v>
      </c>
      <c r="F38" s="25" t="n">
        <v>0.25</v>
      </c>
      <c r="G38" s="26"/>
    </row>
    <row r="39" customFormat="false" ht="31.5" hidden="false" customHeight="true" outlineLevel="0" collapsed="false">
      <c r="B39" s="17" t="s">
        <v>132</v>
      </c>
      <c r="C39" s="10" t="s">
        <v>133</v>
      </c>
      <c r="D39" s="15" t="s">
        <v>72</v>
      </c>
      <c r="E39" s="17" t="n">
        <v>3</v>
      </c>
      <c r="F39" s="23" t="n">
        <v>0.25</v>
      </c>
      <c r="G39" s="24"/>
    </row>
    <row r="40" customFormat="false" ht="31.5" hidden="false" customHeight="true" outlineLevel="0" collapsed="false">
      <c r="B40" s="18" t="s">
        <v>134</v>
      </c>
      <c r="C40" s="8" t="s">
        <v>135</v>
      </c>
      <c r="D40" s="15" t="s">
        <v>72</v>
      </c>
      <c r="E40" s="18" t="n">
        <v>3</v>
      </c>
      <c r="F40" s="25" t="n">
        <v>0.25</v>
      </c>
      <c r="G40" s="26"/>
    </row>
    <row r="41" customFormat="false" ht="31.5" hidden="false" customHeight="true" outlineLevel="0" collapsed="false">
      <c r="B41" s="17" t="s">
        <v>136</v>
      </c>
      <c r="C41" s="10" t="s">
        <v>137</v>
      </c>
      <c r="D41" s="15" t="s">
        <v>72</v>
      </c>
      <c r="E41" s="17" t="n">
        <v>3</v>
      </c>
      <c r="F41" s="23" t="n">
        <v>0.25</v>
      </c>
      <c r="G41" s="24"/>
    </row>
    <row r="42" customFormat="false" ht="7.5" hidden="false" customHeight="true" outlineLevel="0" collapsed="false"/>
    <row r="43" customFormat="false" ht="27.75" hidden="false" customHeight="true" outlineLevel="0" collapsed="false">
      <c r="B43" s="31" t="s">
        <v>138</v>
      </c>
      <c r="C43" s="31"/>
      <c r="D43" s="31"/>
      <c r="E43" s="31"/>
      <c r="F43" s="31"/>
      <c r="G43" s="31"/>
    </row>
    <row r="44" customFormat="false" ht="31.5" hidden="false" customHeight="true" outlineLevel="0" collapsed="false">
      <c r="B44" s="18" t="s">
        <v>139</v>
      </c>
      <c r="C44" s="8" t="s">
        <v>140</v>
      </c>
      <c r="D44" s="15" t="s">
        <v>72</v>
      </c>
      <c r="E44" s="18" t="n">
        <v>3</v>
      </c>
      <c r="F44" s="25" t="n">
        <v>0.15</v>
      </c>
      <c r="G44" s="26"/>
    </row>
    <row r="45" customFormat="false" ht="31.5" hidden="false" customHeight="true" outlineLevel="0" collapsed="false">
      <c r="B45" s="17" t="s">
        <v>141</v>
      </c>
      <c r="C45" s="10" t="s">
        <v>142</v>
      </c>
      <c r="D45" s="15" t="s">
        <v>72</v>
      </c>
      <c r="E45" s="17" t="n">
        <v>3</v>
      </c>
      <c r="F45" s="23" t="n">
        <v>0.15</v>
      </c>
      <c r="G45" s="24"/>
    </row>
    <row r="46" customFormat="false" ht="31.5" hidden="false" customHeight="true" outlineLevel="0" collapsed="false">
      <c r="B46" s="18" t="s">
        <v>143</v>
      </c>
      <c r="C46" s="8" t="s">
        <v>144</v>
      </c>
      <c r="D46" s="15" t="s">
        <v>72</v>
      </c>
      <c r="E46" s="18" t="n">
        <v>3</v>
      </c>
      <c r="F46" s="25" t="n">
        <v>0.15</v>
      </c>
      <c r="G46" s="26"/>
    </row>
    <row r="47" customFormat="false" ht="31.5" hidden="false" customHeight="true" outlineLevel="0" collapsed="false">
      <c r="B47" s="17" t="s">
        <v>145</v>
      </c>
      <c r="C47" s="10" t="s">
        <v>146</v>
      </c>
      <c r="D47" s="13" t="s">
        <v>81</v>
      </c>
      <c r="E47" s="17" t="n">
        <v>3</v>
      </c>
      <c r="F47" s="23" t="n">
        <v>0.15</v>
      </c>
      <c r="G47" s="24"/>
    </row>
    <row r="48" customFormat="false" ht="31.5" hidden="false" customHeight="true" outlineLevel="0" collapsed="false">
      <c r="B48" s="18" t="s">
        <v>147</v>
      </c>
      <c r="C48" s="8" t="s">
        <v>148</v>
      </c>
      <c r="D48" s="13" t="s">
        <v>81</v>
      </c>
      <c r="E48" s="18" t="n">
        <v>3</v>
      </c>
      <c r="F48" s="25" t="n">
        <v>0.15</v>
      </c>
      <c r="G48" s="26"/>
    </row>
    <row r="49" customFormat="false" ht="31.5" hidden="false" customHeight="true" outlineLevel="0" collapsed="false">
      <c r="B49" s="17" t="s">
        <v>149</v>
      </c>
      <c r="C49" s="10" t="s">
        <v>150</v>
      </c>
      <c r="D49" s="15" t="s">
        <v>72</v>
      </c>
      <c r="E49" s="17" t="n">
        <v>3</v>
      </c>
      <c r="F49" s="23" t="n">
        <v>0.15</v>
      </c>
      <c r="G49" s="24"/>
    </row>
    <row r="50" customFormat="false" ht="31.5" hidden="false" customHeight="true" outlineLevel="0" collapsed="false">
      <c r="B50" s="18" t="s">
        <v>151</v>
      </c>
      <c r="C50" s="8" t="s">
        <v>152</v>
      </c>
      <c r="D50" s="13" t="s">
        <v>81</v>
      </c>
      <c r="E50" s="18" t="n">
        <v>3</v>
      </c>
      <c r="F50" s="25" t="n">
        <v>0.15</v>
      </c>
      <c r="G50" s="26"/>
    </row>
    <row r="51" customFormat="false" ht="31.5" hidden="false" customHeight="true" outlineLevel="0" collapsed="false">
      <c r="B51" s="17" t="s">
        <v>153</v>
      </c>
      <c r="C51" s="10" t="s">
        <v>154</v>
      </c>
      <c r="D51" s="13" t="s">
        <v>81</v>
      </c>
      <c r="E51" s="17" t="n">
        <v>3</v>
      </c>
      <c r="F51" s="23" t="n">
        <v>0.15</v>
      </c>
      <c r="G51" s="24"/>
    </row>
    <row r="52" customFormat="false" ht="7.5" hidden="false" customHeight="true" outlineLevel="0" collapsed="false"/>
    <row r="53" customFormat="false" ht="27.75" hidden="false" customHeight="true" outlineLevel="0" collapsed="false">
      <c r="B53" s="32" t="s">
        <v>155</v>
      </c>
      <c r="C53" s="32"/>
      <c r="D53" s="32"/>
      <c r="E53" s="32"/>
      <c r="F53" s="32"/>
      <c r="G53" s="32"/>
    </row>
    <row r="54" customFormat="false" ht="31.5" hidden="false" customHeight="true" outlineLevel="0" collapsed="false">
      <c r="B54" s="18" t="s">
        <v>156</v>
      </c>
      <c r="C54" s="8" t="s">
        <v>157</v>
      </c>
      <c r="D54" s="15" t="s">
        <v>72</v>
      </c>
      <c r="E54" s="18" t="n">
        <v>3</v>
      </c>
      <c r="F54" s="25" t="n">
        <v>0.15</v>
      </c>
      <c r="G54" s="26"/>
    </row>
    <row r="55" customFormat="false" ht="31.5" hidden="false" customHeight="true" outlineLevel="0" collapsed="false">
      <c r="B55" s="17" t="s">
        <v>158</v>
      </c>
      <c r="C55" s="10" t="s">
        <v>159</v>
      </c>
      <c r="D55" s="15" t="s">
        <v>72</v>
      </c>
      <c r="E55" s="17" t="n">
        <v>3</v>
      </c>
      <c r="F55" s="23" t="n">
        <v>0.15</v>
      </c>
      <c r="G55" s="24"/>
    </row>
    <row r="56" customFormat="false" ht="31.5" hidden="false" customHeight="true" outlineLevel="0" collapsed="false">
      <c r="B56" s="18" t="s">
        <v>160</v>
      </c>
      <c r="C56" s="8" t="s">
        <v>161</v>
      </c>
      <c r="D56" s="15" t="s">
        <v>72</v>
      </c>
      <c r="E56" s="18" t="n">
        <v>3</v>
      </c>
      <c r="F56" s="25" t="n">
        <v>0.15</v>
      </c>
      <c r="G56" s="26"/>
    </row>
    <row r="57" customFormat="false" ht="31.5" hidden="false" customHeight="true" outlineLevel="0" collapsed="false">
      <c r="B57" s="17" t="s">
        <v>162</v>
      </c>
      <c r="C57" s="10" t="s">
        <v>163</v>
      </c>
      <c r="D57" s="15" t="s">
        <v>72</v>
      </c>
      <c r="E57" s="17" t="n">
        <v>3</v>
      </c>
      <c r="F57" s="23" t="n">
        <v>0.15</v>
      </c>
      <c r="G57" s="24"/>
    </row>
    <row r="58" customFormat="false" ht="31.5" hidden="false" customHeight="true" outlineLevel="0" collapsed="false">
      <c r="B58" s="18" t="s">
        <v>164</v>
      </c>
      <c r="C58" s="8" t="s">
        <v>165</v>
      </c>
      <c r="D58" s="13" t="s">
        <v>81</v>
      </c>
      <c r="E58" s="18" t="n">
        <v>3</v>
      </c>
      <c r="F58" s="25" t="n">
        <v>0.15</v>
      </c>
      <c r="G58" s="26"/>
    </row>
    <row r="59" customFormat="false" ht="31.5" hidden="false" customHeight="true" outlineLevel="0" collapsed="false">
      <c r="B59" s="17" t="s">
        <v>166</v>
      </c>
      <c r="C59" s="10" t="s">
        <v>167</v>
      </c>
      <c r="D59" s="13" t="s">
        <v>81</v>
      </c>
      <c r="E59" s="17" t="n">
        <v>3</v>
      </c>
      <c r="F59" s="23" t="n">
        <v>0.15</v>
      </c>
      <c r="G59" s="24"/>
    </row>
    <row r="60" customFormat="false" ht="31.5" hidden="false" customHeight="true" outlineLevel="0" collapsed="false">
      <c r="B60" s="18" t="s">
        <v>168</v>
      </c>
      <c r="C60" s="8" t="s">
        <v>169</v>
      </c>
      <c r="D60" s="15" t="s">
        <v>72</v>
      </c>
      <c r="E60" s="18" t="n">
        <v>3</v>
      </c>
      <c r="F60" s="25" t="n">
        <v>0.15</v>
      </c>
      <c r="G60" s="26"/>
    </row>
    <row r="61" customFormat="false" ht="7.5" hidden="false" customHeight="true" outlineLevel="0" collapsed="false"/>
  </sheetData>
  <mergeCells count="8">
    <mergeCell ref="B1:G1"/>
    <mergeCell ref="B2:G2"/>
    <mergeCell ref="B4:G4"/>
    <mergeCell ref="B13:G13"/>
    <mergeCell ref="B23:G23"/>
    <mergeCell ref="B32:G32"/>
    <mergeCell ref="B43:G43"/>
    <mergeCell ref="B53:G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13A"/>
    <pageSetUpPr fitToPage="false"/>
  </sheetPr>
  <dimension ref="B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8"/>
    <col collapsed="false" customWidth="true" hidden="false" outlineLevel="0" max="8" min="8" style="0" width="3"/>
  </cols>
  <sheetData>
    <row r="1" customFormat="false" ht="45" hidden="false" customHeight="true" outlineLevel="0" collapsed="false">
      <c r="B1" s="20" t="s">
        <v>170</v>
      </c>
      <c r="C1" s="20"/>
      <c r="D1" s="20"/>
      <c r="E1" s="20"/>
      <c r="F1" s="20"/>
      <c r="G1" s="20"/>
    </row>
    <row r="2" customFormat="false" ht="19.5" hidden="false" customHeight="true" outlineLevel="0" collapsed="false">
      <c r="B2" s="2" t="s">
        <v>171</v>
      </c>
      <c r="C2" s="2"/>
      <c r="D2" s="2"/>
      <c r="E2" s="2"/>
      <c r="F2" s="2"/>
      <c r="G2" s="2"/>
    </row>
    <row r="4" customFormat="false" ht="30" hidden="false" customHeight="true" outlineLevel="0" collapsed="false">
      <c r="B4" s="21" t="s">
        <v>42</v>
      </c>
      <c r="C4" s="21" t="s">
        <v>43</v>
      </c>
      <c r="D4" s="21" t="s">
        <v>172</v>
      </c>
      <c r="E4" s="21" t="s">
        <v>173</v>
      </c>
      <c r="F4" s="21" t="s">
        <v>174</v>
      </c>
      <c r="G4" s="21" t="s">
        <v>66</v>
      </c>
    </row>
    <row r="5" customFormat="false" ht="27.75" hidden="false" customHeight="true" outlineLevel="0" collapsed="false">
      <c r="B5" s="7" t="s">
        <v>69</v>
      </c>
      <c r="C5" s="25" t="n">
        <v>0.15</v>
      </c>
      <c r="D5" s="33" t="n">
        <v>7</v>
      </c>
      <c r="E5" s="34" t="n">
        <f aca="false">AVERAGE('2. Risk Assessment Checklist'!E5:E11)</f>
        <v>3</v>
      </c>
      <c r="F5" s="35" t="n">
        <f aca="false">E5*C5</f>
        <v>0.45</v>
      </c>
      <c r="G5" s="36" t="str">
        <f aca="false">IF(E5&gt;=4.5,"CRITICAL",IF(E5&gt;=3.5,"HIGH",IF(E5&gt;=2.5,"MODERATE","LOW")))</f>
        <v>MODERATE</v>
      </c>
    </row>
    <row r="6" customFormat="false" ht="27.75" hidden="false" customHeight="true" outlineLevel="0" collapsed="false">
      <c r="B6" s="9" t="s">
        <v>86</v>
      </c>
      <c r="C6" s="23" t="n">
        <v>0.2</v>
      </c>
      <c r="D6" s="37" t="n">
        <v>8</v>
      </c>
      <c r="E6" s="38" t="n">
        <f aca="false">AVERAGE('2. Risk Assessment Checklist'!E14:E21)</f>
        <v>3</v>
      </c>
      <c r="F6" s="39" t="n">
        <f aca="false">E6*C6</f>
        <v>0.6</v>
      </c>
      <c r="G6" s="40" t="str">
        <f aca="false">IF(E6&gt;=4.5,"CRITICAL",IF(E6&gt;=3.5,"HIGH",IF(E6&gt;=2.5,"MODERATE","LOW")))</f>
        <v>MODERATE</v>
      </c>
    </row>
    <row r="7" customFormat="false" ht="27.75" hidden="false" customHeight="true" outlineLevel="0" collapsed="false">
      <c r="B7" s="7" t="s">
        <v>103</v>
      </c>
      <c r="C7" s="25" t="n">
        <v>0.1</v>
      </c>
      <c r="D7" s="33" t="n">
        <v>7</v>
      </c>
      <c r="E7" s="34" t="n">
        <f aca="false">AVERAGE('2. Risk Assessment Checklist'!E24:E30)</f>
        <v>3</v>
      </c>
      <c r="F7" s="35" t="n">
        <f aca="false">E7*C7</f>
        <v>0.3</v>
      </c>
      <c r="G7" s="36" t="str">
        <f aca="false">IF(E7&gt;=4.5,"CRITICAL",IF(E7&gt;=3.5,"HIGH",IF(E7&gt;=2.5,"MODERATE","LOW")))</f>
        <v>MODERATE</v>
      </c>
    </row>
    <row r="8" customFormat="false" ht="27.75" hidden="false" customHeight="true" outlineLevel="0" collapsed="false">
      <c r="B8" s="9" t="s">
        <v>118</v>
      </c>
      <c r="C8" s="23" t="n">
        <v>0.25</v>
      </c>
      <c r="D8" s="37" t="n">
        <v>9</v>
      </c>
      <c r="E8" s="38" t="n">
        <f aca="false">AVERAGE('2. Risk Assessment Checklist'!E33:E41)</f>
        <v>3</v>
      </c>
      <c r="F8" s="39" t="n">
        <f aca="false">E8*C8</f>
        <v>0.75</v>
      </c>
      <c r="G8" s="40" t="str">
        <f aca="false">IF(E8&gt;=4.5,"CRITICAL",IF(E8&gt;=3.5,"HIGH",IF(E8&gt;=2.5,"MODERATE","LOW")))</f>
        <v>MODERATE</v>
      </c>
    </row>
    <row r="9" customFormat="false" ht="27.75" hidden="false" customHeight="true" outlineLevel="0" collapsed="false">
      <c r="B9" s="7" t="s">
        <v>138</v>
      </c>
      <c r="C9" s="25" t="n">
        <v>0.15</v>
      </c>
      <c r="D9" s="33" t="n">
        <v>8</v>
      </c>
      <c r="E9" s="34" t="n">
        <f aca="false">AVERAGE('2. Risk Assessment Checklist'!E44:E51)</f>
        <v>3</v>
      </c>
      <c r="F9" s="35" t="n">
        <f aca="false">E9*C9</f>
        <v>0.45</v>
      </c>
      <c r="G9" s="36" t="str">
        <f aca="false">IF(E9&gt;=4.5,"CRITICAL",IF(E9&gt;=3.5,"HIGH",IF(E9&gt;=2.5,"MODERATE","LOW")))</f>
        <v>MODERATE</v>
      </c>
    </row>
    <row r="10" customFormat="false" ht="27.75" hidden="false" customHeight="true" outlineLevel="0" collapsed="false">
      <c r="B10" s="9" t="s">
        <v>155</v>
      </c>
      <c r="C10" s="23" t="n">
        <v>0.15</v>
      </c>
      <c r="D10" s="37" t="n">
        <v>7</v>
      </c>
      <c r="E10" s="38" t="n">
        <f aca="false">AVERAGE('2. Risk Assessment Checklist'!E54:E60)</f>
        <v>3</v>
      </c>
      <c r="F10" s="39" t="n">
        <f aca="false">E10*C10</f>
        <v>0.45</v>
      </c>
      <c r="G10" s="40" t="str">
        <f aca="false">IF(E10&gt;=4.5,"CRITICAL",IF(E10&gt;=3.5,"HIGH",IF(E10&gt;=2.5,"MODERATE","LOW")))</f>
        <v>MODERATE</v>
      </c>
    </row>
    <row r="11" customFormat="false" ht="30" hidden="false" customHeight="true" outlineLevel="0" collapsed="false">
      <c r="B11" s="41" t="s">
        <v>175</v>
      </c>
      <c r="C11" s="41" t="s">
        <v>176</v>
      </c>
      <c r="D11" s="41" t="n">
        <f aca="false">7+8+7+9+8+7</f>
        <v>46</v>
      </c>
      <c r="E11" s="42" t="n">
        <f aca="false">SUM(F5:F10)</f>
        <v>3</v>
      </c>
      <c r="F11" s="43" t="str">
        <f aca="false">IF(E11&gt;=4.5,"⚠ CRITICAL",IF(E11&gt;=3.5,"🔴 HIGH",IF(E11&gt;=2.5,"🟡 MODERATE","🟢 LOW")))</f>
        <v>🟡 MODERATE</v>
      </c>
      <c r="G11" s="43"/>
    </row>
    <row r="13" customFormat="false" ht="21.75" hidden="false" customHeight="true" outlineLevel="0" collapsed="false">
      <c r="B13" s="3" t="s">
        <v>177</v>
      </c>
      <c r="C13" s="3"/>
      <c r="D13" s="3"/>
      <c r="E13" s="3"/>
      <c r="F13" s="3"/>
      <c r="G13" s="3"/>
    </row>
    <row r="14" customFormat="false" ht="24" hidden="false" customHeight="true" outlineLevel="0" collapsed="false">
      <c r="B14" s="11" t="s">
        <v>178</v>
      </c>
      <c r="C14" s="11" t="s">
        <v>179</v>
      </c>
      <c r="D14" s="44" t="s">
        <v>180</v>
      </c>
      <c r="E14" s="44"/>
      <c r="F14" s="44"/>
      <c r="G14" s="44"/>
    </row>
    <row r="15" customFormat="false" ht="24" hidden="false" customHeight="true" outlineLevel="0" collapsed="false">
      <c r="B15" s="13" t="s">
        <v>181</v>
      </c>
      <c r="C15" s="13" t="s">
        <v>182</v>
      </c>
      <c r="D15" s="45" t="s">
        <v>183</v>
      </c>
      <c r="E15" s="45"/>
      <c r="F15" s="45"/>
      <c r="G15" s="45"/>
    </row>
    <row r="16" customFormat="false" ht="24" hidden="false" customHeight="true" outlineLevel="0" collapsed="false">
      <c r="B16" s="15" t="s">
        <v>184</v>
      </c>
      <c r="C16" s="15" t="s">
        <v>185</v>
      </c>
      <c r="D16" s="46" t="s">
        <v>186</v>
      </c>
      <c r="E16" s="46"/>
      <c r="F16" s="46"/>
      <c r="G16" s="46"/>
    </row>
    <row r="17" customFormat="false" ht="24" hidden="false" customHeight="true" outlineLevel="0" collapsed="false">
      <c r="B17" s="47" t="s">
        <v>187</v>
      </c>
      <c r="C17" s="47" t="s">
        <v>188</v>
      </c>
      <c r="D17" s="48" t="s">
        <v>189</v>
      </c>
      <c r="E17" s="48"/>
      <c r="F17" s="48"/>
      <c r="G17" s="48"/>
    </row>
  </sheetData>
  <mergeCells count="8">
    <mergeCell ref="B1:G1"/>
    <mergeCell ref="B2:G2"/>
    <mergeCell ref="F11:G11"/>
    <mergeCell ref="B13:G13"/>
    <mergeCell ref="D14:G14"/>
    <mergeCell ref="D15:G15"/>
    <mergeCell ref="D16:G16"/>
    <mergeCell ref="D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3"/>
  </cols>
  <sheetData>
    <row r="1" customFormat="false" ht="49.5" hidden="false" customHeight="true" outlineLevel="0" collapsed="false">
      <c r="B1" s="49" t="s">
        <v>190</v>
      </c>
      <c r="C1" s="49"/>
      <c r="D1" s="49"/>
      <c r="E1" s="49"/>
      <c r="F1" s="49"/>
    </row>
    <row r="2" customFormat="false" ht="19.5" hidden="false" customHeight="true" outlineLevel="0" collapsed="false">
      <c r="B2" s="50" t="s">
        <v>191</v>
      </c>
      <c r="C2" s="51" t="s">
        <v>192</v>
      </c>
      <c r="D2" s="51"/>
      <c r="E2" s="51"/>
      <c r="F2" s="51"/>
    </row>
    <row r="3" customFormat="false" ht="19.5" hidden="false" customHeight="true" outlineLevel="0" collapsed="false">
      <c r="B3" s="50" t="s">
        <v>193</v>
      </c>
      <c r="C3" s="51" t="s">
        <v>194</v>
      </c>
      <c r="D3" s="51"/>
      <c r="E3" s="51"/>
      <c r="F3" s="51"/>
    </row>
    <row r="4" customFormat="false" ht="19.5" hidden="false" customHeight="true" outlineLevel="0" collapsed="false">
      <c r="B4" s="50" t="s">
        <v>195</v>
      </c>
      <c r="C4" s="51" t="s">
        <v>196</v>
      </c>
      <c r="D4" s="51"/>
      <c r="E4" s="51"/>
      <c r="F4" s="51"/>
    </row>
    <row r="5" customFormat="false" ht="19.5" hidden="false" customHeight="true" outlineLevel="0" collapsed="false">
      <c r="B5" s="50" t="s">
        <v>197</v>
      </c>
      <c r="C5" s="51" t="s">
        <v>198</v>
      </c>
      <c r="D5" s="51"/>
      <c r="E5" s="51"/>
      <c r="F5" s="51"/>
    </row>
    <row r="6" customFormat="false" ht="19.5" hidden="false" customHeight="true" outlineLevel="0" collapsed="false">
      <c r="B6" s="50" t="s">
        <v>199</v>
      </c>
      <c r="C6" s="51" t="s">
        <v>200</v>
      </c>
      <c r="D6" s="51"/>
      <c r="E6" s="51"/>
      <c r="F6" s="51"/>
    </row>
    <row r="8" customFormat="false" ht="21.75" hidden="false" customHeight="true" outlineLevel="0" collapsed="false">
      <c r="B8" s="3" t="s">
        <v>201</v>
      </c>
      <c r="C8" s="3"/>
      <c r="D8" s="3"/>
      <c r="E8" s="3"/>
      <c r="F8" s="3"/>
    </row>
    <row r="9" customFormat="false" ht="19.5" hidden="false" customHeight="true" outlineLevel="0" collapsed="false">
      <c r="B9" s="5" t="s">
        <v>42</v>
      </c>
      <c r="C9" s="5" t="s">
        <v>43</v>
      </c>
      <c r="D9" s="5" t="s">
        <v>67</v>
      </c>
      <c r="E9" s="5" t="s">
        <v>174</v>
      </c>
      <c r="F9" s="5" t="s">
        <v>66</v>
      </c>
    </row>
    <row r="10" customFormat="false" ht="24" hidden="false" customHeight="true" outlineLevel="0" collapsed="false">
      <c r="B10" s="7" t="s">
        <v>51</v>
      </c>
      <c r="C10" s="25" t="n">
        <v>0.15</v>
      </c>
      <c r="D10" s="18" t="n">
        <v>3.4</v>
      </c>
      <c r="E10" s="52" t="n">
        <v>0.51</v>
      </c>
      <c r="F10" s="13" t="s">
        <v>181</v>
      </c>
    </row>
    <row r="11" customFormat="false" ht="24" hidden="false" customHeight="true" outlineLevel="0" collapsed="false">
      <c r="B11" s="9" t="s">
        <v>48</v>
      </c>
      <c r="C11" s="23" t="n">
        <v>0.2</v>
      </c>
      <c r="D11" s="17" t="n">
        <v>3.8</v>
      </c>
      <c r="E11" s="53" t="n">
        <v>0.76</v>
      </c>
      <c r="F11" s="15" t="s">
        <v>184</v>
      </c>
    </row>
    <row r="12" customFormat="false" ht="24" hidden="false" customHeight="true" outlineLevel="0" collapsed="false">
      <c r="B12" s="7" t="s">
        <v>58</v>
      </c>
      <c r="C12" s="25" t="n">
        <v>0.1</v>
      </c>
      <c r="D12" s="18" t="n">
        <v>3.6</v>
      </c>
      <c r="E12" s="52" t="n">
        <v>0.36</v>
      </c>
      <c r="F12" s="15" t="s">
        <v>184</v>
      </c>
    </row>
    <row r="13" customFormat="false" ht="24" hidden="false" customHeight="true" outlineLevel="0" collapsed="false">
      <c r="B13" s="9" t="s">
        <v>45</v>
      </c>
      <c r="C13" s="23" t="n">
        <v>0.25</v>
      </c>
      <c r="D13" s="17" t="n">
        <v>4.1</v>
      </c>
      <c r="E13" s="53" t="n">
        <v>1.025</v>
      </c>
      <c r="F13" s="15" t="s">
        <v>184</v>
      </c>
    </row>
    <row r="14" customFormat="false" ht="24" hidden="false" customHeight="true" outlineLevel="0" collapsed="false">
      <c r="B14" s="7" t="s">
        <v>56</v>
      </c>
      <c r="C14" s="25" t="n">
        <v>0.15</v>
      </c>
      <c r="D14" s="18" t="n">
        <v>3.2</v>
      </c>
      <c r="E14" s="52" t="n">
        <v>0.48</v>
      </c>
      <c r="F14" s="13" t="s">
        <v>181</v>
      </c>
    </row>
    <row r="15" customFormat="false" ht="24" hidden="false" customHeight="true" outlineLevel="0" collapsed="false">
      <c r="B15" s="9" t="s">
        <v>54</v>
      </c>
      <c r="C15" s="23" t="n">
        <v>0.15</v>
      </c>
      <c r="D15" s="17" t="n">
        <v>3.5</v>
      </c>
      <c r="E15" s="53" t="n">
        <v>0.525</v>
      </c>
      <c r="F15" s="15" t="s">
        <v>184</v>
      </c>
    </row>
    <row r="16" customFormat="false" ht="30" hidden="false" customHeight="true" outlineLevel="0" collapsed="false">
      <c r="B16" s="41" t="s">
        <v>202</v>
      </c>
      <c r="C16" s="41" t="s">
        <v>176</v>
      </c>
      <c r="D16" s="54" t="n">
        <v>3.66</v>
      </c>
      <c r="E16" s="55" t="s">
        <v>203</v>
      </c>
      <c r="F16" s="55"/>
    </row>
    <row r="18" customFormat="false" ht="21.75" hidden="false" customHeight="true" outlineLevel="0" collapsed="false">
      <c r="B18" s="3" t="s">
        <v>204</v>
      </c>
      <c r="C18" s="3"/>
      <c r="D18" s="3"/>
      <c r="E18" s="3"/>
      <c r="F18" s="3"/>
    </row>
    <row r="19" customFormat="false" ht="19.5" hidden="false" customHeight="true" outlineLevel="0" collapsed="false">
      <c r="B19" s="5" t="s">
        <v>64</v>
      </c>
      <c r="C19" s="5" t="s">
        <v>205</v>
      </c>
      <c r="D19" s="5" t="s">
        <v>42</v>
      </c>
      <c r="E19" s="5" t="s">
        <v>206</v>
      </c>
      <c r="F19" s="5" t="s">
        <v>207</v>
      </c>
    </row>
    <row r="20" customFormat="false" ht="36" hidden="false" customHeight="true" outlineLevel="0" collapsed="false">
      <c r="B20" s="6" t="s">
        <v>208</v>
      </c>
      <c r="C20" s="8" t="s">
        <v>209</v>
      </c>
      <c r="D20" s="56" t="s">
        <v>210</v>
      </c>
      <c r="E20" s="30" t="s">
        <v>187</v>
      </c>
      <c r="F20" s="8" t="s">
        <v>211</v>
      </c>
    </row>
    <row r="21" customFormat="false" ht="36" hidden="false" customHeight="true" outlineLevel="0" collapsed="false">
      <c r="B21" s="6" t="s">
        <v>212</v>
      </c>
      <c r="C21" s="10" t="s">
        <v>213</v>
      </c>
      <c r="D21" s="57" t="s">
        <v>214</v>
      </c>
      <c r="E21" s="15" t="s">
        <v>184</v>
      </c>
      <c r="F21" s="10" t="s">
        <v>215</v>
      </c>
    </row>
    <row r="22" customFormat="false" ht="36" hidden="false" customHeight="true" outlineLevel="0" collapsed="false">
      <c r="B22" s="6" t="s">
        <v>216</v>
      </c>
      <c r="C22" s="8" t="s">
        <v>217</v>
      </c>
      <c r="D22" s="56" t="s">
        <v>218</v>
      </c>
      <c r="E22" s="15" t="s">
        <v>184</v>
      </c>
      <c r="F22" s="8" t="s">
        <v>219</v>
      </c>
    </row>
    <row r="23" customFormat="false" ht="36" hidden="false" customHeight="true" outlineLevel="0" collapsed="false">
      <c r="B23" s="6" t="s">
        <v>220</v>
      </c>
      <c r="C23" s="10" t="s">
        <v>221</v>
      </c>
      <c r="D23" s="57" t="s">
        <v>222</v>
      </c>
      <c r="E23" s="15" t="s">
        <v>184</v>
      </c>
      <c r="F23" s="10" t="s">
        <v>223</v>
      </c>
    </row>
    <row r="24" customFormat="false" ht="36" hidden="false" customHeight="true" outlineLevel="0" collapsed="false">
      <c r="B24" s="6" t="s">
        <v>224</v>
      </c>
      <c r="C24" s="8" t="s">
        <v>225</v>
      </c>
      <c r="D24" s="56" t="s">
        <v>51</v>
      </c>
      <c r="E24" s="13" t="s">
        <v>181</v>
      </c>
      <c r="F24" s="8" t="s">
        <v>226</v>
      </c>
    </row>
    <row r="26" customFormat="false" ht="21.75" hidden="false" customHeight="true" outlineLevel="0" collapsed="false">
      <c r="B26" s="3" t="s">
        <v>227</v>
      </c>
      <c r="C26" s="3"/>
      <c r="D26" s="3"/>
      <c r="E26" s="3"/>
      <c r="F26" s="3"/>
    </row>
    <row r="27" customFormat="false" ht="30" hidden="false" customHeight="true" outlineLevel="0" collapsed="false">
      <c r="B27" s="58" t="s">
        <v>228</v>
      </c>
      <c r="C27" s="59" t="s">
        <v>229</v>
      </c>
      <c r="D27" s="59"/>
      <c r="E27" s="59"/>
      <c r="F27" s="59"/>
    </row>
    <row r="28" customFormat="false" ht="30" hidden="false" customHeight="true" outlineLevel="0" collapsed="false">
      <c r="B28" s="60" t="s">
        <v>230</v>
      </c>
      <c r="C28" s="61" t="s">
        <v>231</v>
      </c>
      <c r="D28" s="61"/>
      <c r="E28" s="61"/>
      <c r="F28" s="61"/>
    </row>
    <row r="29" customFormat="false" ht="30" hidden="false" customHeight="true" outlineLevel="0" collapsed="false">
      <c r="B29" s="58" t="s">
        <v>232</v>
      </c>
      <c r="C29" s="59" t="s">
        <v>233</v>
      </c>
      <c r="D29" s="59"/>
      <c r="E29" s="59"/>
      <c r="F29" s="59"/>
    </row>
    <row r="30" customFormat="false" ht="30" hidden="false" customHeight="true" outlineLevel="0" collapsed="false">
      <c r="B30" s="60" t="s">
        <v>234</v>
      </c>
      <c r="C30" s="61" t="s">
        <v>235</v>
      </c>
      <c r="D30" s="61"/>
      <c r="E30" s="61"/>
      <c r="F30" s="61"/>
    </row>
    <row r="32" customFormat="false" ht="15" hidden="false" customHeight="false" outlineLevel="0" collapsed="false">
      <c r="B32" s="19" t="s">
        <v>236</v>
      </c>
      <c r="C32" s="19"/>
      <c r="D32" s="19"/>
      <c r="E32" s="19"/>
      <c r="F32" s="19"/>
    </row>
  </sheetData>
  <mergeCells count="15">
    <mergeCell ref="B1:F1"/>
    <mergeCell ref="C2:F2"/>
    <mergeCell ref="C3:F3"/>
    <mergeCell ref="C4:F4"/>
    <mergeCell ref="C5:F5"/>
    <mergeCell ref="C6:F6"/>
    <mergeCell ref="B8:F8"/>
    <mergeCell ref="E16:F16"/>
    <mergeCell ref="B18:F18"/>
    <mergeCell ref="B26:F26"/>
    <mergeCell ref="C27:F27"/>
    <mergeCell ref="C28:F28"/>
    <mergeCell ref="C29:F29"/>
    <mergeCell ref="C30:F30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2026-04-30T22:57:17Z</dcterms:created>
  <dc:creator>openpyxl</dc:creator>
  <dc:description/>
  <dc:language>en-US</dc:language>
  <cp:lastModifiedBy/>
  <dcterms:modified xsi:type="dcterms:W3CDTF">2026-04-30T22:57:17Z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